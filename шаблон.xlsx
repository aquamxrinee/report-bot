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nor\Desktop\report-bot\"/>
    </mc:Choice>
  </mc:AlternateContent>
  <xr:revisionPtr revIDLastSave="0" documentId="13_ncr:1_{17A4E9C4-BB6A-4ECA-AD7B-639883BDFA9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Шабло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0" i="1" l="1"/>
  <c r="I9" i="1"/>
  <c r="B53" i="1"/>
  <c r="B35" i="1"/>
  <c r="Q10" i="1"/>
  <c r="M10" i="1"/>
  <c r="Q6" i="1"/>
  <c r="M6" i="1"/>
  <c r="Q1" i="1"/>
  <c r="M1" i="1"/>
  <c r="F6" i="1"/>
  <c r="B6" i="1"/>
  <c r="I6" i="1" l="1"/>
  <c r="B19" i="1"/>
  <c r="C23" i="1" s="1"/>
  <c r="F12" i="1" l="1"/>
  <c r="F8" i="1"/>
  <c r="F13" i="1" s="1"/>
  <c r="B38" i="1" s="1"/>
  <c r="B23" i="1"/>
  <c r="B12" i="1" l="1"/>
  <c r="B8" i="1"/>
  <c r="B13" i="1" l="1"/>
  <c r="I3" i="1" s="1"/>
</calcChain>
</file>

<file path=xl/sharedStrings.xml><?xml version="1.0" encoding="utf-8"?>
<sst xmlns="http://schemas.openxmlformats.org/spreadsheetml/2006/main" count="76" uniqueCount="37">
  <si>
    <t>Период:</t>
  </si>
  <si>
    <t>Тип:</t>
  </si>
  <si>
    <t>Основной</t>
  </si>
  <si>
    <t>Бренд</t>
  </si>
  <si>
    <t>Цап царапкин</t>
  </si>
  <si>
    <t>Harakiri</t>
  </si>
  <si>
    <t>К перечислению
продавцу с типом
«Продажа»</t>
  </si>
  <si>
    <t>К перечислению
продавцу с типом
«Возврат»</t>
  </si>
  <si>
    <t>Итог:</t>
  </si>
  <si>
    <t>Логистика</t>
  </si>
  <si>
    <t>Хранение</t>
  </si>
  <si>
    <t>Приемка</t>
  </si>
  <si>
    <t>Штрафы</t>
  </si>
  <si>
    <t>Прочие удержания</t>
  </si>
  <si>
    <t>Комиссия 4,3 %</t>
  </si>
  <si>
    <t>Итого:</t>
  </si>
  <si>
    <t>общий "итог"</t>
  </si>
  <si>
    <t>Цап Царапкин</t>
  </si>
  <si>
    <t>harakiri</t>
  </si>
  <si>
    <t>соотношение по брендам</t>
  </si>
  <si>
    <t>общее хранение</t>
  </si>
  <si>
    <t>общая комиссия 4,3</t>
  </si>
  <si>
    <t>налог харакири</t>
  </si>
  <si>
    <t>харакири - налог = вывод</t>
  </si>
  <si>
    <t>По выкупам</t>
  </si>
  <si>
    <t>Всего</t>
  </si>
  <si>
    <t>вбшный оборот harakiri выкуп</t>
  </si>
  <si>
    <t>вбшный оборот harakiri основной</t>
  </si>
  <si>
    <t>цап царапкин оборот основной</t>
  </si>
  <si>
    <t>цап царапкин оборот выкуп</t>
  </si>
  <si>
    <t>налог цап царапкин</t>
  </si>
  <si>
    <t>цап царапкин - налог = вывод</t>
  </si>
  <si>
    <t>медианный эквайринг по кабинету %</t>
  </si>
  <si>
    <t>средний эквайринг по кабинету %</t>
  </si>
  <si>
    <t>минимальный эквайринг %</t>
  </si>
  <si>
    <t>максимальный эквайринг %</t>
  </si>
  <si>
    <t>вбшный оборот Цап царапкин основной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</si>
</sst>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/>
    <xf numFmtId="0" fontId="2" fillId="0" borderId="2" xfId="0" applyFont="1" applyBorder="1" applyAlignment="1">
      <alignment vertical="center" wrapText="1"/>
    </xf>
    <xf numFmtId="0" fontId="2" fillId="0" borderId="2" xfId="0" applyFont="1" applyBorder="1"/>
    <xf numFmtId="0" fontId="2" fillId="0" borderId="4" xfId="0" applyFont="1" applyBorder="1"/>
    <xf numFmtId="10" fontId="0" fillId="0" borderId="5" xfId="0" applyNumberFormat="1" applyBorder="1"/>
    <xf numFmtId="10" fontId="0" fillId="0" borderId="6" xfId="0" applyNumberFormat="1" applyBorder="1"/>
    <xf numFmtId="0" fontId="0" fillId="0" borderId="2" xfId="0" applyBorder="1" applyAlignment="1">
      <alignment vertical="center" wrapText="1"/>
    </xf>
    <xf numFmtId="0" fontId="0" fillId="0" borderId="2" xfId="0" applyBorder="1"/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3" xfId="0" applyNumberFormat="1" applyBorder="1"/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topLeftCell="A48" workbookViewId="0">
      <selection activeCell="D76" sqref="D76"/>
    </sheetView>
  </sheetViews>
  <sheetFormatPr defaultRowHeight="14.4" x14ac:dyDescent="0.3"/>
  <cols>
    <col min="1" max="1" width="36.44140625" customWidth="1"/>
    <col min="2" max="2" width="22" customWidth="1"/>
    <col min="3" max="3" width="14.77734375" customWidth="1"/>
    <col min="5" max="5" width="28" customWidth="1"/>
    <col min="6" max="6" width="22" customWidth="1"/>
    <col min="8" max="8" width="9.21875" customWidth="1"/>
    <col min="9" max="9" width="11.109375" customWidth="1"/>
    <col min="12" max="12" width="16.44140625" customWidth="1"/>
    <col min="13" max="13" width="17.88671875" customWidth="1"/>
    <col min="16" max="16" width="19.21875" customWidth="1"/>
    <col min="17" max="17" width="13" customWidth="1"/>
  </cols>
  <sheetData>
    <row r="1" spans="1:17" ht="23.4" customHeight="1" thickBot="1" x14ac:dyDescent="0.35">
      <c r="A1" s="17" t="s">
        <v>0</v>
      </c>
      <c r="B1" s="17"/>
      <c r="E1" s="17" t="s">
        <v>0</v>
      </c>
      <c r="F1" s="17"/>
      <c r="L1" s="12" t="s">
        <v>0</v>
      </c>
      <c r="M1" s="12">
        <f>B1</f>
        <v>0</v>
      </c>
      <c r="P1" s="12" t="s">
        <v>0</v>
      </c>
      <c r="Q1" s="12">
        <f>F1</f>
        <v>0</v>
      </c>
    </row>
    <row r="2" spans="1:17" ht="36.6" customHeight="1" thickBot="1" x14ac:dyDescent="0.35">
      <c r="A2" s="17" t="s">
        <v>1</v>
      </c>
      <c r="B2" s="18" t="s">
        <v>2</v>
      </c>
      <c r="E2" s="17" t="s">
        <v>1</v>
      </c>
      <c r="F2" s="18" t="s">
        <v>2</v>
      </c>
      <c r="I2" s="21" t="s">
        <v>2</v>
      </c>
      <c r="L2" s="12" t="s">
        <v>1</v>
      </c>
      <c r="M2" s="13" t="s">
        <v>24</v>
      </c>
      <c r="P2" s="12" t="s">
        <v>1</v>
      </c>
      <c r="Q2" s="13" t="s">
        <v>24</v>
      </c>
    </row>
    <row r="3" spans="1:17" ht="18" customHeight="1" x14ac:dyDescent="0.3">
      <c r="A3" s="17" t="s">
        <v>3</v>
      </c>
      <c r="B3" s="19" t="s">
        <v>4</v>
      </c>
      <c r="E3" s="17" t="s">
        <v>3</v>
      </c>
      <c r="F3" s="19" t="s">
        <v>5</v>
      </c>
      <c r="I3" s="22" t="e">
        <f>B13+F13</f>
        <v>#DIV/0!</v>
      </c>
      <c r="L3" s="12" t="s">
        <v>3</v>
      </c>
      <c r="M3" s="14" t="s">
        <v>4</v>
      </c>
      <c r="P3" s="12" t="s">
        <v>3</v>
      </c>
      <c r="Q3" s="14" t="s">
        <v>5</v>
      </c>
    </row>
    <row r="4" spans="1:17" ht="48.6" customHeight="1" thickBot="1" x14ac:dyDescent="0.35">
      <c r="A4" s="17" t="s">
        <v>6</v>
      </c>
      <c r="B4" s="20"/>
      <c r="E4" s="17" t="s">
        <v>6</v>
      </c>
      <c r="F4" s="20"/>
      <c r="L4" s="12" t="s">
        <v>6</v>
      </c>
      <c r="M4" s="15"/>
      <c r="P4" s="12" t="s">
        <v>6</v>
      </c>
      <c r="Q4" s="15"/>
    </row>
    <row r="5" spans="1:17" ht="43.2" customHeight="1" thickBot="1" x14ac:dyDescent="0.35">
      <c r="A5" s="17" t="s">
        <v>7</v>
      </c>
      <c r="B5" s="20"/>
      <c r="E5" s="17" t="s">
        <v>7</v>
      </c>
      <c r="F5" s="20"/>
      <c r="I5" s="16" t="s">
        <v>24</v>
      </c>
      <c r="L5" s="12" t="s">
        <v>7</v>
      </c>
      <c r="M5" s="15"/>
      <c r="P5" s="12" t="s">
        <v>7</v>
      </c>
      <c r="Q5" s="15"/>
    </row>
    <row r="6" spans="1:17" ht="27" customHeight="1" x14ac:dyDescent="0.3">
      <c r="A6" s="17" t="s">
        <v>8</v>
      </c>
      <c r="B6" s="17">
        <f>B4-B5</f>
        <v>0</v>
      </c>
      <c r="E6" s="17" t="s">
        <v>8</v>
      </c>
      <c r="F6" s="17">
        <f>F4-F5</f>
        <v>0</v>
      </c>
      <c r="I6" s="23">
        <f>M10+Q10</f>
        <v>0</v>
      </c>
      <c r="L6" s="12" t="s">
        <v>8</v>
      </c>
      <c r="M6" s="15">
        <f>M4-M5</f>
        <v>0</v>
      </c>
      <c r="P6" s="12" t="s">
        <v>8</v>
      </c>
      <c r="Q6" s="15">
        <f>Q4-Q5</f>
        <v>0</v>
      </c>
    </row>
    <row r="7" spans="1:17" ht="26.4" customHeight="1" thickBot="1" x14ac:dyDescent="0.35">
      <c r="A7" s="17" t="s">
        <v>9</v>
      </c>
      <c r="B7" s="20"/>
      <c r="E7" s="17" t="s">
        <v>9</v>
      </c>
      <c r="F7" s="20"/>
      <c r="L7" s="12" t="s">
        <v>9</v>
      </c>
      <c r="M7" s="15"/>
      <c r="P7" s="12" t="s">
        <v>9</v>
      </c>
      <c r="Q7" s="15"/>
    </row>
    <row r="8" spans="1:17" ht="26.4" customHeight="1" thickBot="1" x14ac:dyDescent="0.35">
      <c r="A8" s="17" t="s">
        <v>10</v>
      </c>
      <c r="B8" s="17" t="e">
        <f>B26*B23</f>
        <v>#DIV/0!</v>
      </c>
      <c r="E8" s="17" t="s">
        <v>10</v>
      </c>
      <c r="F8" s="17" t="e">
        <f>B26*C23</f>
        <v>#DIV/0!</v>
      </c>
      <c r="I8" s="10" t="s">
        <v>25</v>
      </c>
      <c r="L8" s="12" t="s">
        <v>11</v>
      </c>
      <c r="M8" s="12"/>
      <c r="P8" s="12" t="s">
        <v>11</v>
      </c>
      <c r="Q8" s="12"/>
    </row>
    <row r="9" spans="1:17" ht="22.2" customHeight="1" x14ac:dyDescent="0.3">
      <c r="A9" s="17" t="s">
        <v>11</v>
      </c>
      <c r="B9" s="17"/>
      <c r="E9" s="17" t="s">
        <v>11</v>
      </c>
      <c r="F9" s="17">
        <v>0</v>
      </c>
      <c r="I9" s="9" t="e">
        <f>I3+I6</f>
        <v>#DIV/0!</v>
      </c>
      <c r="L9" s="12" t="s">
        <v>12</v>
      </c>
      <c r="M9" s="12"/>
      <c r="P9" s="12" t="s">
        <v>12</v>
      </c>
      <c r="Q9" s="12"/>
    </row>
    <row r="10" spans="1:17" ht="21.6" customHeight="1" x14ac:dyDescent="0.3">
      <c r="A10" s="17" t="s">
        <v>12</v>
      </c>
      <c r="B10" s="17"/>
      <c r="E10" s="17" t="s">
        <v>12</v>
      </c>
      <c r="F10" s="17">
        <v>0</v>
      </c>
      <c r="L10" s="12" t="s">
        <v>15</v>
      </c>
      <c r="M10" s="15">
        <f>M6-M7-M8-M9</f>
        <v>0</v>
      </c>
      <c r="P10" s="12" t="s">
        <v>15</v>
      </c>
      <c r="Q10" s="15">
        <f>Q6-Q7-Q8-Q9</f>
        <v>0</v>
      </c>
    </row>
    <row r="11" spans="1:17" ht="25.2" customHeight="1" x14ac:dyDescent="0.3">
      <c r="A11" s="17" t="s">
        <v>13</v>
      </c>
      <c r="B11" s="17"/>
      <c r="E11" s="17" t="s">
        <v>13</v>
      </c>
      <c r="F11" s="17">
        <v>0</v>
      </c>
    </row>
    <row r="12" spans="1:17" ht="30" customHeight="1" x14ac:dyDescent="0.3">
      <c r="A12" s="17" t="s">
        <v>14</v>
      </c>
      <c r="B12" s="17" t="e">
        <f>B29*B23</f>
        <v>#DIV/0!</v>
      </c>
      <c r="E12" s="17" t="s">
        <v>14</v>
      </c>
      <c r="F12" s="17" t="e">
        <f>B29*C23</f>
        <v>#DIV/0!</v>
      </c>
    </row>
    <row r="13" spans="1:17" ht="29.4" customHeight="1" x14ac:dyDescent="0.3">
      <c r="A13" s="17" t="s">
        <v>15</v>
      </c>
      <c r="B13" s="17" t="e">
        <f>B6-B7-B8-B9-B10-B11-B12</f>
        <v>#DIV/0!</v>
      </c>
      <c r="E13" s="17" t="s">
        <v>15</v>
      </c>
      <c r="F13" s="17" t="e">
        <f>F6-F7-F8-F9-F10-F11-F12</f>
        <v>#DIV/0!</v>
      </c>
    </row>
    <row r="14" spans="1:17" ht="27.6" customHeight="1" x14ac:dyDescent="0.3"/>
    <row r="18" spans="1:3" ht="15" customHeight="1" thickBot="1" x14ac:dyDescent="0.35"/>
    <row r="19" spans="1:3" ht="15" customHeight="1" thickBot="1" x14ac:dyDescent="0.35">
      <c r="A19" s="2" t="s">
        <v>16</v>
      </c>
      <c r="B19" s="1">
        <f>B6+F6</f>
        <v>0</v>
      </c>
    </row>
    <row r="21" spans="1:3" ht="15" customHeight="1" thickBot="1" x14ac:dyDescent="0.35"/>
    <row r="22" spans="1:3" ht="15" customHeight="1" thickBot="1" x14ac:dyDescent="0.35">
      <c r="A22" s="7"/>
      <c r="B22" s="8" t="s">
        <v>17</v>
      </c>
      <c r="C22" s="8" t="s">
        <v>18</v>
      </c>
    </row>
    <row r="23" spans="1:3" ht="15" customHeight="1" thickBot="1" x14ac:dyDescent="0.35">
      <c r="A23" s="4" t="s">
        <v>19</v>
      </c>
      <c r="B23" s="5" t="e">
        <f>B6/B19</f>
        <v>#DIV/0!</v>
      </c>
      <c r="C23" s="6" t="e">
        <f>F6/B19</f>
        <v>#DIV/0!</v>
      </c>
    </row>
    <row r="25" spans="1:3" ht="15" customHeight="1" thickBot="1" x14ac:dyDescent="0.35"/>
    <row r="26" spans="1:3" ht="15" customHeight="1" thickBot="1" x14ac:dyDescent="0.35">
      <c r="A26" s="3" t="s">
        <v>20</v>
      </c>
      <c r="B26" s="11"/>
    </row>
    <row r="28" spans="1:3" ht="15" customHeight="1" thickBot="1" x14ac:dyDescent="0.35"/>
    <row r="29" spans="1:3" ht="15" customHeight="1" thickBot="1" x14ac:dyDescent="0.35">
      <c r="A29" s="3" t="s">
        <v>21</v>
      </c>
      <c r="B29" s="11"/>
    </row>
    <row r="31" spans="1:3" ht="15" customHeight="1" thickBot="1" x14ac:dyDescent="0.35"/>
    <row r="32" spans="1:3" ht="15" customHeight="1" thickBot="1" x14ac:dyDescent="0.35">
      <c r="A32" s="3" t="s">
        <v>27</v>
      </c>
      <c r="B32" s="1"/>
    </row>
    <row r="34" spans="1:2" ht="15" customHeight="1" thickBot="1" x14ac:dyDescent="0.35"/>
    <row r="35" spans="1:2" ht="15" customHeight="1" thickBot="1" x14ac:dyDescent="0.35">
      <c r="A35" s="3" t="s">
        <v>22</v>
      </c>
      <c r="B35" s="1">
        <f>(B32+B41)*1%</f>
        <v>0</v>
      </c>
    </row>
    <row r="37" spans="1:2" ht="15" customHeight="1" thickBot="1" x14ac:dyDescent="0.35"/>
    <row r="38" spans="1:2" ht="15" customHeight="1" thickBot="1" x14ac:dyDescent="0.35">
      <c r="A38" s="3" t="s">
        <v>23</v>
      </c>
      <c r="B38" s="1" t="e">
        <f>F13-B35</f>
        <v>#DIV/0!</v>
      </c>
    </row>
    <row r="40" spans="1:2" ht="15" thickBot="1" x14ac:dyDescent="0.35"/>
    <row r="41" spans="1:2" ht="15" thickBot="1" x14ac:dyDescent="0.35">
      <c r="A41" s="3" t="s">
        <v>26</v>
      </c>
      <c r="B41" s="1"/>
    </row>
    <row r="43" spans="1:2" ht="15" thickBot="1" x14ac:dyDescent="0.35"/>
    <row r="44" spans="1:2" ht="15" thickBot="1" x14ac:dyDescent="0.35">
      <c r="A44" s="3" t="s">
        <v>28</v>
      </c>
      <c r="B44" s="1"/>
    </row>
    <row r="46" spans="1:2" ht="15" thickBot="1" x14ac:dyDescent="0.35"/>
    <row r="47" spans="1:2" ht="15" thickBot="1" x14ac:dyDescent="0.35">
      <c r="A47" s="3" t="s">
        <v>29</v>
      </c>
      <c r="B47" s="1"/>
    </row>
    <row r="49" spans="1:2" ht="15" thickBot="1" x14ac:dyDescent="0.35"/>
    <row r="50" spans="1:2" ht="15" thickBot="1" x14ac:dyDescent="0.35">
      <c r="A50" s="3" t="s">
        <v>30</v>
      </c>
      <c r="B50" s="1">
        <f>(B44+B47)*1%</f>
        <v>0</v>
      </c>
    </row>
    <row r="52" spans="1:2" ht="15" thickBot="1" x14ac:dyDescent="0.35"/>
    <row r="53" spans="1:2" ht="15" thickBot="1" x14ac:dyDescent="0.35">
      <c r="A53" s="3" t="s">
        <v>31</v>
      </c>
      <c r="B53" s="1" t="e">
        <f>B13-B50</f>
        <v>#DIV/0!</v>
      </c>
    </row>
    <row r="55" spans="1:2" ht="15" thickBot="1" x14ac:dyDescent="0.35"/>
    <row r="56" spans="1:2" ht="15" thickBot="1" x14ac:dyDescent="0.35">
      <c r="A56" s="3" t="s">
        <v>33</v>
      </c>
      <c r="B56" s="1"/>
    </row>
    <row r="58" spans="1:2" ht="15" thickBot="1" x14ac:dyDescent="0.35"/>
    <row r="59" spans="1:2" ht="15" thickBot="1" x14ac:dyDescent="0.35">
      <c r="A59" s="3" t="s">
        <v>32</v>
      </c>
      <c r="B59" s="1"/>
    </row>
    <row r="61" spans="1:2" ht="15" thickBot="1" x14ac:dyDescent="0.35"/>
    <row r="62" spans="1:2" ht="15" thickBot="1" x14ac:dyDescent="0.35">
      <c r="A62" s="3" t="s">
        <v>34</v>
      </c>
      <c r="B62" s="1"/>
    </row>
    <row r="64" spans="1:2" ht="15" thickBot="1" x14ac:dyDescent="0.35"/>
    <row r="65" spans="1:2" ht="15" thickBot="1" x14ac:dyDescent="0.35">
      <c r="A65" s="3" t="s">
        <v>35</v>
      </c>
      <c r="B65" s="1"/>
    </row>
    <row r="67" spans="1:2" ht="15" thickBot="1" x14ac:dyDescent="0.35"/>
    <row r="68" spans="1:2" ht="15" thickBot="1" x14ac:dyDescent="0.35">
      <c r="A68" s="3" t="s">
        <v>36</v>
      </c>
      <c r="B68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Karakulov</cp:lastModifiedBy>
  <dcterms:created xsi:type="dcterms:W3CDTF">2026-07-21T18:26:31Z</dcterms:created>
  <dcterms:modified xsi:type="dcterms:W3CDTF">2026-07-25T09:27:59Z</dcterms:modified>
</cp:coreProperties>
</file>